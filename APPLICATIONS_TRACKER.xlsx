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argets" sheetId="2" state="visible" r:id="rId4"/>
    <sheet name="Application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<sst xmlns="http://schemas.openxmlformats.org/spreadsheetml/2006/main" count="292" uniqueCount="211">
  <si>
    <t xml:space="preserve">Applications Tracker — PersonalChatAI Job Search</t>
  </si>
  <si>
    <t xml:space="preserve">Kegunaan</t>
  </si>
  <si>
    <t xml:space="preserve">Track semua application untuk AI Engineer role. Log tiap apply, follow up, dan interview stage.</t>
  </si>
  <si>
    <t xml:space="preserve">Cara pakai</t>
  </si>
  <si>
    <t xml:space="preserve">1. Sheet 'Targets': list 30 target companies pre-populated. Update priority + notes sesuai research kamu.</t>
  </si>
  <si>
    <t xml:space="preserve">2. Sheet 'Applications': setiap apply, tambah row baru dengan status 'Applied'. Update status tiap ada perkembangan.</t>
  </si>
  <si>
    <t xml:space="preserve">3. Sheet 'Dashboard': auto-hitung summary. Refresh setelah update Applications.</t>
  </si>
  <si>
    <t xml:space="preserve">4. Warna sel: KUNING = editable, PUTIH = auto-formula (jangan edit).</t>
  </si>
  <si>
    <t xml:space="preserve">Status legend</t>
  </si>
  <si>
    <t xml:space="preserve">Prospect</t>
  </si>
  <si>
    <t xml:space="preserve">Company di target list, belum apply</t>
  </si>
  <si>
    <t xml:space="preserve">Applied</t>
  </si>
  <si>
    <t xml:space="preserve">Baru submit application, waiting response</t>
  </si>
  <si>
    <t xml:space="preserve">Screening</t>
  </si>
  <si>
    <t xml:space="preserve">Recruiter/HR screening call scheduled or done</t>
  </si>
  <si>
    <t xml:space="preserve">Interview-1</t>
  </si>
  <si>
    <t xml:space="preserve">Technical/coding first round</t>
  </si>
  <si>
    <t xml:space="preserve">Interview-2</t>
  </si>
  <si>
    <t xml:space="preserve">System design or deep-dive round</t>
  </si>
  <si>
    <t xml:space="preserve">Onsite</t>
  </si>
  <si>
    <t xml:space="preserve">Final onsite (multi-interview loop)</t>
  </si>
  <si>
    <t xml:space="preserve">Offer</t>
  </si>
  <si>
    <t xml:space="preserve">Received offer, negotiation stage</t>
  </si>
  <si>
    <t xml:space="preserve">Rejected</t>
  </si>
  <si>
    <t xml:space="preserve">Rejected by company</t>
  </si>
  <si>
    <t xml:space="preserve">Withdrawn</t>
  </si>
  <si>
    <t xml:space="preserve">Aku decline / withdraw</t>
  </si>
  <si>
    <t xml:space="preserve">Ghosted</t>
  </si>
  <si>
    <t xml:space="preserve">No response 14+ hari, likely rejection</t>
  </si>
  <si>
    <t xml:space="preserve">Priority</t>
  </si>
  <si>
    <t xml:space="preserve">Company</t>
  </si>
  <si>
    <t xml:space="preserve">Role Type</t>
  </si>
  <si>
    <t xml:space="preserve">Location</t>
  </si>
  <si>
    <t xml:space="preserve">Website</t>
  </si>
  <si>
    <t xml:space="preserve">Careers Page</t>
  </si>
  <si>
    <t xml:space="preserve">Contact Person</t>
  </si>
  <si>
    <t xml:space="preserve">Notes</t>
  </si>
  <si>
    <t xml:space="preserve">High</t>
  </si>
  <si>
    <t xml:space="preserve">Ruangguru</t>
  </si>
  <si>
    <t xml:space="preserve">AI/ML Engineer</t>
  </si>
  <si>
    <t xml:space="preserve">Jakarta / Remote</t>
  </si>
  <si>
    <t xml:space="preserve">ruangguru.com</t>
  </si>
  <si>
    <t xml:space="preserve">careers.ruangguru.com</t>
  </si>
  <si>
    <t xml:space="preserve">EdTech dengan AI features, RG AI team aktif hiring</t>
  </si>
  <si>
    <t xml:space="preserve">Kata.ai</t>
  </si>
  <si>
    <t xml:space="preserve">AI Engineer</t>
  </si>
  <si>
    <t xml:space="preserve">kata.ai</t>
  </si>
  <si>
    <t xml:space="preserve">kata.ai/career</t>
  </si>
  <si>
    <t xml:space="preserve">Conversational AI, chatbot spesialis</t>
  </si>
  <si>
    <t xml:space="preserve">Traveloka</t>
  </si>
  <si>
    <t xml:space="preserve">ML Engineer</t>
  </si>
  <si>
    <t xml:space="preserve">Jakarta / Singapore</t>
  </si>
  <si>
    <t xml:space="preserve">traveloka.com</t>
  </si>
  <si>
    <t xml:space="preserve">careers.traveloka.com</t>
  </si>
  <si>
    <t xml:space="preserve">Data science tim besar, banyak AI use case</t>
  </si>
  <si>
    <t xml:space="preserve">Tokopedia</t>
  </si>
  <si>
    <t xml:space="preserve">Jakarta</t>
  </si>
  <si>
    <t xml:space="preserve">tokopedia.com</t>
  </si>
  <si>
    <t xml:space="preserve">careers.tokopedia.com</t>
  </si>
  <si>
    <t xml:space="preserve">Merged w/ GoTo, AI di search + recommendation</t>
  </si>
  <si>
    <t xml:space="preserve">Gojek</t>
  </si>
  <si>
    <t xml:space="preserve">Jakarta / Bangalore / Singapore</t>
  </si>
  <si>
    <t xml:space="preserve">gojek.com</t>
  </si>
  <si>
    <t xml:space="preserve">career.gojek.io</t>
  </si>
  <si>
    <t xml:space="preserve">AI di pricing, dispatch, fraud</t>
  </si>
  <si>
    <t xml:space="preserve">Medium</t>
  </si>
  <si>
    <t xml:space="preserve">Bukalapak</t>
  </si>
  <si>
    <t xml:space="preserve">bukalapak.com</t>
  </si>
  <si>
    <t xml:space="preserve">bukalapak.com/careers</t>
  </si>
  <si>
    <t xml:space="preserve">AI di ads + personalization</t>
  </si>
  <si>
    <t xml:space="preserve">Xendit</t>
  </si>
  <si>
    <t xml:space="preserve">Jakarta / Singapore / Remote</t>
  </si>
  <si>
    <t xml:space="preserve">xendit.co</t>
  </si>
  <si>
    <t xml:space="preserve">xendit.co/careers</t>
  </si>
  <si>
    <t xml:space="preserve">Fintech, fraud detection AI</t>
  </si>
  <si>
    <t xml:space="preserve">OVO</t>
  </si>
  <si>
    <t xml:space="preserve">Data Scientist / AI</t>
  </si>
  <si>
    <t xml:space="preserve">ovo.id</t>
  </si>
  <si>
    <t xml:space="preserve">ovo.id/careers</t>
  </si>
  <si>
    <t xml:space="preserve">Fintech consumer, AI di risk + fraud</t>
  </si>
  <si>
    <t xml:space="preserve">Halodoc</t>
  </si>
  <si>
    <t xml:space="preserve">halodoc.com</t>
  </si>
  <si>
    <t xml:space="preserve">halodoc.com/careers</t>
  </si>
  <si>
    <t xml:space="preserve">HealthTech, AI di triage + doc</t>
  </si>
  <si>
    <t xml:space="preserve">Investree</t>
  </si>
  <si>
    <t xml:space="preserve">investree.id</t>
  </si>
  <si>
    <t xml:space="preserve">investree.id/careers</t>
  </si>
  <si>
    <t xml:space="preserve">P2P lending, credit scoring AI</t>
  </si>
  <si>
    <t xml:space="preserve">Grab</t>
  </si>
  <si>
    <t xml:space="preserve">Singapore / Jakarta / Remote</t>
  </si>
  <si>
    <t xml:space="preserve">grab.com</t>
  </si>
  <si>
    <t xml:space="preserve">grab.careers</t>
  </si>
  <si>
    <t xml:space="preserve">Central AI team, banyak posisi</t>
  </si>
  <si>
    <t xml:space="preserve">Shopee (SEA)</t>
  </si>
  <si>
    <t xml:space="preserve">Singapore / Jakarta</t>
  </si>
  <si>
    <t xml:space="preserve">shopee.com</t>
  </si>
  <si>
    <t xml:space="preserve">careers.shopee.sg</t>
  </si>
  <si>
    <t xml:space="preserve">Recommendation + search AI</t>
  </si>
  <si>
    <t xml:space="preserve">Lazada</t>
  </si>
  <si>
    <t xml:space="preserve">lazada.com</t>
  </si>
  <si>
    <t xml:space="preserve">careers.lazada.com</t>
  </si>
  <si>
    <t xml:space="preserve">Alibaba-owned, AI infra tim</t>
  </si>
  <si>
    <t xml:space="preserve">Sea Group</t>
  </si>
  <si>
    <t xml:space="preserve">Singapore</t>
  </si>
  <si>
    <t xml:space="preserve">seagroup.com</t>
  </si>
  <si>
    <t xml:space="preserve">careers.seagroup.com</t>
  </si>
  <si>
    <t xml:space="preserve">Parent of Shopee, Garena. R&amp;D tim</t>
  </si>
  <si>
    <t xml:space="preserve">Ninja Van</t>
  </si>
  <si>
    <t xml:space="preserve">ninjavan.co</t>
  </si>
  <si>
    <t xml:space="preserve">ninjavan.co/careers</t>
  </si>
  <si>
    <t xml:space="preserve">Logistics AI, route optimization</t>
  </si>
  <si>
    <t xml:space="preserve">Zilliz (Milvus)</t>
  </si>
  <si>
    <t xml:space="preserve">Singapore / Remote</t>
  </si>
  <si>
    <t xml:space="preserve">zilliz.com</t>
  </si>
  <si>
    <t xml:space="preserve">zilliz.com/careers</t>
  </si>
  <si>
    <t xml:space="preserve">Vector DB company, AI-native</t>
  </si>
  <si>
    <t xml:space="preserve">Anthropic</t>
  </si>
  <si>
    <t xml:space="preserve">Remote (limited)</t>
  </si>
  <si>
    <t xml:space="preserve">anthropic.com</t>
  </si>
  <si>
    <t xml:space="preserve">anthropic.com/careers</t>
  </si>
  <si>
    <t xml:space="preserve">Claude maker, dream target</t>
  </si>
  <si>
    <t xml:space="preserve">Replicate</t>
  </si>
  <si>
    <t xml:space="preserve">Remote</t>
  </si>
  <si>
    <t xml:space="preserve">replicate.com</t>
  </si>
  <si>
    <t xml:space="preserve">replicate.com/careers</t>
  </si>
  <si>
    <t xml:space="preserve">ML infra, model hosting</t>
  </si>
  <si>
    <t xml:space="preserve">Hugging Face</t>
  </si>
  <si>
    <t xml:space="preserve">huggingface.co</t>
  </si>
  <si>
    <t xml:space="preserve">huggingface.co/jobs</t>
  </si>
  <si>
    <t xml:space="preserve">OSS AI, remote-first</t>
  </si>
  <si>
    <t xml:space="preserve">LangChain</t>
  </si>
  <si>
    <t xml:space="preserve">langchain.com</t>
  </si>
  <si>
    <t xml:space="preserve">langchain.com/careers</t>
  </si>
  <si>
    <t xml:space="preserve">AI framework, agent focus</t>
  </si>
  <si>
    <t xml:space="preserve">Vercel</t>
  </si>
  <si>
    <t xml:space="preserve">AI Engineer / Full-stack</t>
  </si>
  <si>
    <t xml:space="preserve">vercel.com</t>
  </si>
  <si>
    <t xml:space="preserve">vercel.com/careers</t>
  </si>
  <si>
    <t xml:space="preserve">AI SDK team, kamu udah familiar stack</t>
  </si>
  <si>
    <t xml:space="preserve">Voyage AI</t>
  </si>
  <si>
    <t xml:space="preserve">Remote / US</t>
  </si>
  <si>
    <t xml:space="preserve">voyageai.com</t>
  </si>
  <si>
    <t xml:space="preserve">voyageai.com/careers</t>
  </si>
  <si>
    <t xml:space="preserve">Embedding + rerank provider — kamu pakai daily</t>
  </si>
  <si>
    <t xml:space="preserve">Groq</t>
  </si>
  <si>
    <t xml:space="preserve">groq.com</t>
  </si>
  <si>
    <t xml:space="preserve">groq.com/careers</t>
  </si>
  <si>
    <t xml:space="preserve">LLM inference — kamu pakai daily</t>
  </si>
  <si>
    <t xml:space="preserve">Cohere</t>
  </si>
  <si>
    <t xml:space="preserve">Remote / US / UK</t>
  </si>
  <si>
    <t xml:space="preserve">cohere.com</t>
  </si>
  <si>
    <t xml:space="preserve">cohere.com/careers</t>
  </si>
  <si>
    <t xml:space="preserve">Enterprise LLM, rerank pioneer</t>
  </si>
  <si>
    <t xml:space="preserve">Neon</t>
  </si>
  <si>
    <t xml:space="preserve">Backend / AI Engineer</t>
  </si>
  <si>
    <t xml:space="preserve">neon.tech</t>
  </si>
  <si>
    <t xml:space="preserve">neon.tech/careers</t>
  </si>
  <si>
    <t xml:space="preserve">Postgres + pgvector — kamu pakai daily</t>
  </si>
  <si>
    <t xml:space="preserve">Perplexity AI</t>
  </si>
  <si>
    <t xml:space="preserve">perplexity.ai</t>
  </si>
  <si>
    <t xml:space="preserve">perplexity.ai/careers</t>
  </si>
  <si>
    <t xml:space="preserve">Search + AI, well-funded</t>
  </si>
  <si>
    <t xml:space="preserve">Cursor (Anysphere)</t>
  </si>
  <si>
    <t xml:space="preserve">Remote / SF</t>
  </si>
  <si>
    <t xml:space="preserve">cursor.sh</t>
  </si>
  <si>
    <t xml:space="preserve">cursor.sh/careers</t>
  </si>
  <si>
    <t xml:space="preserve">AI coding tool, hot startup</t>
  </si>
  <si>
    <t xml:space="preserve">Cline / Continue.dev</t>
  </si>
  <si>
    <t xml:space="preserve">continue.dev</t>
  </si>
  <si>
    <t xml:space="preserve">continue.dev/careers</t>
  </si>
  <si>
    <t xml:space="preserve">OSS AI coding assistant</t>
  </si>
  <si>
    <t xml:space="preserve">Low</t>
  </si>
  <si>
    <t xml:space="preserve">Replit</t>
  </si>
  <si>
    <t xml:space="preserve">replit.com</t>
  </si>
  <si>
    <t xml:space="preserve">replit.com/careers</t>
  </si>
  <si>
    <t xml:space="preserve">AI-first IDE</t>
  </si>
  <si>
    <t xml:space="preserve">Retool</t>
  </si>
  <si>
    <t xml:space="preserve">AI/Full-stack Engineer</t>
  </si>
  <si>
    <t xml:space="preserve">retool.com</t>
  </si>
  <si>
    <t xml:space="preserve">retool.com/careers</t>
  </si>
  <si>
    <t xml:space="preserve">AI features in internal tools</t>
  </si>
  <si>
    <t xml:space="preserve">#</t>
  </si>
  <si>
    <t xml:space="preserve">Role</t>
  </si>
  <si>
    <t xml:space="preserve">Source</t>
  </si>
  <si>
    <t xml:space="preserve">Applied Date</t>
  </si>
  <si>
    <t xml:space="preserve">Status</t>
  </si>
  <si>
    <t xml:space="preserve">Last Update</t>
  </si>
  <si>
    <t xml:space="preserve">Days Since Apply</t>
  </si>
  <si>
    <t xml:space="preserve">Contact Email</t>
  </si>
  <si>
    <t xml:space="preserve">Referral?</t>
  </si>
  <si>
    <t xml:space="preserve">Next Action</t>
  </si>
  <si>
    <t xml:space="preserve">LinkedIn</t>
  </si>
  <si>
    <t xml:space="preserve">Nama Recruiter</t>
  </si>
  <si>
    <t xml:space="preserve">recruiter@ruangguru.com</t>
  </si>
  <si>
    <t xml:space="preserve">No</t>
  </si>
  <si>
    <t xml:space="preserve">Follow up dalam 5 hari</t>
  </si>
  <si>
    <t xml:space="preserve">(Example row — hapus setelah paham format)</t>
  </si>
  <si>
    <t xml:space="preserve">Application Dashboard</t>
  </si>
  <si>
    <t xml:space="preserve">Auto-updated dari Applications sheet</t>
  </si>
  <si>
    <t xml:space="preserve">Status Breakdown</t>
  </si>
  <si>
    <t xml:space="preserve">Total Applications</t>
  </si>
  <si>
    <t xml:space="preserve">Conversion Metrics</t>
  </si>
  <si>
    <t xml:space="preserve">Screening rate</t>
  </si>
  <si>
    <t xml:space="preserve">Interview rate</t>
  </si>
  <si>
    <t xml:space="preserve">Onsite rate</t>
  </si>
  <si>
    <t xml:space="preserve">Offer rate</t>
  </si>
  <si>
    <t xml:space="preserve">Needs Follow-up (Applied 5+ days ago, no update)</t>
  </si>
  <si>
    <t xml:space="preserve">Count</t>
  </si>
  <si>
    <t xml:space="preserve">Weekly Target</t>
  </si>
  <si>
    <t xml:space="preserve">Applications this week</t>
  </si>
  <si>
    <t xml:space="preserve">Target: 5/week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</si>
</sst>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5757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9C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B3E5FC"/>
        </patternFill>
      </fill>
    </dxf>
    <dxf>
      <fill>
        <patternFill>
          <bgColor rgb="FFFFE0B2"/>
        </patternFill>
      </fill>
    </dxf>
    <dxf>
      <fill>
        <patternFill>
          <bgColor rgb="FFFFD54F"/>
        </patternFill>
      </fill>
    </dxf>
    <dxf>
      <fill>
        <patternFill>
          <bgColor rgb="FFFFB300"/>
        </patternFill>
      </fill>
    </dxf>
    <dxf>
      <fill>
        <patternFill>
          <bgColor rgb="FFFF8A65"/>
        </patternFill>
      </fill>
    </dxf>
    <dxf>
      <fill>
        <patternFill>
          <bgColor rgb="FF81C784"/>
        </patternFill>
      </fill>
    </dxf>
    <dxf>
      <fill>
        <patternFill>
          <bgColor rgb="FFEF9A9A"/>
        </patternFill>
      </fill>
    </dxf>
    <dxf>
      <fill>
        <patternFill>
          <bgColor rgb="FFBDBDBD"/>
        </patternFill>
      </fill>
    </dxf>
    <dxf>
      <fill>
        <patternFill>
          <bgColor rgb="FF9E9E9E"/>
        </patternFill>
      </fill>
    </dxf>
    <dxf>
      <fill>
        <patternFill>
          <bgColor rgb="FFE1BE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9C4"/>
      <rgbColor rgb="FFFFCDD2"/>
      <rgbColor rgb="FF660066"/>
      <rgbColor rgb="FFFF8A65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D54F"/>
      <rgbColor rgb="FFB3E5FC"/>
      <rgbColor rgb="FFEF9A9A"/>
      <rgbColor rgb="FFCC99FF"/>
      <rgbColor rgb="FFFFE0B2"/>
      <rgbColor rgb="FF3366FF"/>
      <rgbColor rgb="FF33CCCC"/>
      <rgbColor rgb="FF81C784"/>
      <rgbColor rgb="FFFFB3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57.45" hidden="false" customHeight="fals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57.45" hidden="false" customHeight="false" outlineLevel="0" collapsed="false">
      <c r="A7" s="3" t="s">
        <v>4</v>
      </c>
    </row>
    <row r="8" customFormat="false" ht="68.65" hidden="false" customHeight="false" outlineLevel="0" collapsed="false">
      <c r="A8" s="3" t="s">
        <v>5</v>
      </c>
    </row>
    <row r="9" customFormat="false" ht="46.25" hidden="false" customHeight="false" outlineLevel="0" collapsed="false">
      <c r="A9" s="3" t="s">
        <v>6</v>
      </c>
    </row>
    <row r="10" customFormat="false" ht="46.25" hidden="false" customHeight="false" outlineLevel="0" collapsed="false">
      <c r="A10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4" t="s">
        <v>9</v>
      </c>
      <c r="B13" s="3" t="s">
        <v>10</v>
      </c>
    </row>
    <row r="14" customFormat="false" ht="15" hidden="false" customHeight="false" outlineLevel="0" collapsed="false">
      <c r="A14" s="4" t="s">
        <v>11</v>
      </c>
      <c r="B14" s="3" t="s">
        <v>12</v>
      </c>
    </row>
    <row r="15" customFormat="false" ht="15" hidden="false" customHeight="false" outlineLevel="0" collapsed="false">
      <c r="A15" s="4" t="s">
        <v>13</v>
      </c>
      <c r="B15" s="3" t="s">
        <v>14</v>
      </c>
    </row>
    <row r="16" customFormat="false" ht="15" hidden="false" customHeight="false" outlineLevel="0" collapsed="false">
      <c r="A16" s="4" t="s">
        <v>15</v>
      </c>
      <c r="B16" s="3" t="s">
        <v>16</v>
      </c>
    </row>
    <row r="17" customFormat="false" ht="15" hidden="false" customHeight="false" outlineLevel="0" collapsed="false">
      <c r="A17" s="4" t="s">
        <v>17</v>
      </c>
      <c r="B17" s="3" t="s">
        <v>18</v>
      </c>
    </row>
    <row r="18" customFormat="false" ht="15" hidden="false" customHeight="false" outlineLevel="0" collapsed="false">
      <c r="A18" s="4" t="s">
        <v>19</v>
      </c>
      <c r="B18" s="3" t="s">
        <v>20</v>
      </c>
    </row>
    <row r="19" customFormat="false" ht="15" hidden="false" customHeight="false" outlineLevel="0" collapsed="false">
      <c r="A19" s="4" t="s">
        <v>21</v>
      </c>
      <c r="B19" s="3" t="s">
        <v>22</v>
      </c>
    </row>
    <row r="20" customFormat="false" ht="15" hidden="false" customHeight="false" outlineLevel="0" collapsed="false">
      <c r="A20" s="4" t="s">
        <v>23</v>
      </c>
      <c r="B20" s="3" t="s">
        <v>24</v>
      </c>
    </row>
    <row r="21" customFormat="false" ht="15" hidden="false" customHeight="false" outlineLevel="0" collapsed="false">
      <c r="A21" s="4" t="s">
        <v>25</v>
      </c>
      <c r="B21" s="3" t="s">
        <v>26</v>
      </c>
    </row>
    <row r="22" customFormat="false" ht="15" hidden="false" customHeight="false" outlineLevel="0" collapsed="false">
      <c r="A22" s="4" t="s">
        <v>27</v>
      </c>
      <c r="B22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45"/>
  </cols>
  <sheetData>
    <row r="1" customFormat="false" ht="24.7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</row>
    <row r="2" customFormat="false" ht="15" hidden="false" customHeight="false" outlineLevel="0" collapsed="false">
      <c r="A2" s="6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6"/>
      <c r="H2" s="6" t="s">
        <v>43</v>
      </c>
    </row>
    <row r="3" customFormat="false" ht="15" hidden="false" customHeight="false" outlineLevel="0" collapsed="false">
      <c r="A3" s="6" t="s">
        <v>37</v>
      </c>
      <c r="B3" s="7" t="s">
        <v>44</v>
      </c>
      <c r="C3" s="7" t="s">
        <v>45</v>
      </c>
      <c r="D3" s="7" t="s">
        <v>40</v>
      </c>
      <c r="E3" s="7" t="s">
        <v>46</v>
      </c>
      <c r="F3" s="7" t="s">
        <v>47</v>
      </c>
      <c r="G3" s="6"/>
      <c r="H3" s="6" t="s">
        <v>48</v>
      </c>
    </row>
    <row r="4" customFormat="false" ht="15" hidden="false" customHeight="false" outlineLevel="0" collapsed="false">
      <c r="A4" s="6" t="s">
        <v>37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6"/>
      <c r="H4" s="6" t="s">
        <v>54</v>
      </c>
    </row>
    <row r="5" customFormat="false" ht="15" hidden="false" customHeight="false" outlineLevel="0" collapsed="false">
      <c r="A5" s="6" t="s">
        <v>37</v>
      </c>
      <c r="B5" s="7" t="s">
        <v>55</v>
      </c>
      <c r="C5" s="7" t="s">
        <v>45</v>
      </c>
      <c r="D5" s="7" t="s">
        <v>56</v>
      </c>
      <c r="E5" s="7" t="s">
        <v>57</v>
      </c>
      <c r="F5" s="7" t="s">
        <v>58</v>
      </c>
      <c r="G5" s="6"/>
      <c r="H5" s="6" t="s">
        <v>59</v>
      </c>
    </row>
    <row r="6" customFormat="false" ht="15" hidden="false" customHeight="false" outlineLevel="0" collapsed="false">
      <c r="A6" s="6" t="s">
        <v>37</v>
      </c>
      <c r="B6" s="7" t="s">
        <v>60</v>
      </c>
      <c r="C6" s="7" t="s">
        <v>50</v>
      </c>
      <c r="D6" s="7" t="s">
        <v>61</v>
      </c>
      <c r="E6" s="7" t="s">
        <v>62</v>
      </c>
      <c r="F6" s="7" t="s">
        <v>63</v>
      </c>
      <c r="G6" s="6"/>
      <c r="H6" s="6" t="s">
        <v>64</v>
      </c>
    </row>
    <row r="7" customFormat="false" ht="15" hidden="false" customHeight="false" outlineLevel="0" collapsed="false">
      <c r="A7" s="6" t="s">
        <v>65</v>
      </c>
      <c r="B7" s="7" t="s">
        <v>66</v>
      </c>
      <c r="C7" s="7" t="s">
        <v>45</v>
      </c>
      <c r="D7" s="7" t="s">
        <v>56</v>
      </c>
      <c r="E7" s="7" t="s">
        <v>67</v>
      </c>
      <c r="F7" s="7" t="s">
        <v>68</v>
      </c>
      <c r="G7" s="6"/>
      <c r="H7" s="6" t="s">
        <v>69</v>
      </c>
    </row>
    <row r="8" customFormat="false" ht="15" hidden="false" customHeight="false" outlineLevel="0" collapsed="false">
      <c r="A8" s="6" t="s">
        <v>65</v>
      </c>
      <c r="B8" s="7" t="s">
        <v>70</v>
      </c>
      <c r="C8" s="7" t="s">
        <v>50</v>
      </c>
      <c r="D8" s="7" t="s">
        <v>71</v>
      </c>
      <c r="E8" s="7" t="s">
        <v>72</v>
      </c>
      <c r="F8" s="7" t="s">
        <v>73</v>
      </c>
      <c r="G8" s="6"/>
      <c r="H8" s="6" t="s">
        <v>74</v>
      </c>
    </row>
    <row r="9" customFormat="false" ht="15" hidden="false" customHeight="false" outlineLevel="0" collapsed="false">
      <c r="A9" s="6" t="s">
        <v>65</v>
      </c>
      <c r="B9" s="7" t="s">
        <v>75</v>
      </c>
      <c r="C9" s="7" t="s">
        <v>76</v>
      </c>
      <c r="D9" s="7" t="s">
        <v>56</v>
      </c>
      <c r="E9" s="7" t="s">
        <v>77</v>
      </c>
      <c r="F9" s="7" t="s">
        <v>78</v>
      </c>
      <c r="G9" s="6"/>
      <c r="H9" s="6" t="s">
        <v>79</v>
      </c>
    </row>
    <row r="10" customFormat="false" ht="15" hidden="false" customHeight="false" outlineLevel="0" collapsed="false">
      <c r="A10" s="6" t="s">
        <v>65</v>
      </c>
      <c r="B10" s="7" t="s">
        <v>80</v>
      </c>
      <c r="C10" s="7" t="s">
        <v>39</v>
      </c>
      <c r="D10" s="7" t="s">
        <v>40</v>
      </c>
      <c r="E10" s="7" t="s">
        <v>81</v>
      </c>
      <c r="F10" s="7" t="s">
        <v>82</v>
      </c>
      <c r="G10" s="6"/>
      <c r="H10" s="6" t="s">
        <v>83</v>
      </c>
    </row>
    <row r="11" customFormat="false" ht="15" hidden="false" customHeight="false" outlineLevel="0" collapsed="false">
      <c r="A11" s="6" t="s">
        <v>65</v>
      </c>
      <c r="B11" s="7" t="s">
        <v>84</v>
      </c>
      <c r="C11" s="7" t="s">
        <v>50</v>
      </c>
      <c r="D11" s="7" t="s">
        <v>56</v>
      </c>
      <c r="E11" s="7" t="s">
        <v>85</v>
      </c>
      <c r="F11" s="7" t="s">
        <v>86</v>
      </c>
      <c r="G11" s="6"/>
      <c r="H11" s="6" t="s">
        <v>87</v>
      </c>
    </row>
    <row r="12" customFormat="false" ht="15" hidden="false" customHeight="false" outlineLevel="0" collapsed="false">
      <c r="A12" s="6" t="s">
        <v>37</v>
      </c>
      <c r="B12" s="7" t="s">
        <v>88</v>
      </c>
      <c r="C12" s="7" t="s">
        <v>50</v>
      </c>
      <c r="D12" s="7" t="s">
        <v>89</v>
      </c>
      <c r="E12" s="7" t="s">
        <v>90</v>
      </c>
      <c r="F12" s="7" t="s">
        <v>91</v>
      </c>
      <c r="G12" s="6"/>
      <c r="H12" s="6" t="s">
        <v>92</v>
      </c>
    </row>
    <row r="13" customFormat="false" ht="15" hidden="false" customHeight="false" outlineLevel="0" collapsed="false">
      <c r="A13" s="6" t="s">
        <v>37</v>
      </c>
      <c r="B13" s="7" t="s">
        <v>93</v>
      </c>
      <c r="C13" s="7" t="s">
        <v>45</v>
      </c>
      <c r="D13" s="7" t="s">
        <v>94</v>
      </c>
      <c r="E13" s="7" t="s">
        <v>95</v>
      </c>
      <c r="F13" s="7" t="s">
        <v>96</v>
      </c>
      <c r="G13" s="6"/>
      <c r="H13" s="6" t="s">
        <v>97</v>
      </c>
    </row>
    <row r="14" customFormat="false" ht="15" hidden="false" customHeight="false" outlineLevel="0" collapsed="false">
      <c r="A14" s="6" t="s">
        <v>37</v>
      </c>
      <c r="B14" s="7" t="s">
        <v>98</v>
      </c>
      <c r="C14" s="7" t="s">
        <v>50</v>
      </c>
      <c r="D14" s="7" t="s">
        <v>94</v>
      </c>
      <c r="E14" s="7" t="s">
        <v>99</v>
      </c>
      <c r="F14" s="7" t="s">
        <v>100</v>
      </c>
      <c r="G14" s="6"/>
      <c r="H14" s="6" t="s">
        <v>101</v>
      </c>
    </row>
    <row r="15" customFormat="false" ht="15" hidden="false" customHeight="false" outlineLevel="0" collapsed="false">
      <c r="A15" s="6" t="s">
        <v>37</v>
      </c>
      <c r="B15" s="7" t="s">
        <v>102</v>
      </c>
      <c r="C15" s="7" t="s">
        <v>45</v>
      </c>
      <c r="D15" s="7" t="s">
        <v>103</v>
      </c>
      <c r="E15" s="7" t="s">
        <v>104</v>
      </c>
      <c r="F15" s="7" t="s">
        <v>105</v>
      </c>
      <c r="G15" s="6"/>
      <c r="H15" s="6" t="s">
        <v>106</v>
      </c>
    </row>
    <row r="16" customFormat="false" ht="15" hidden="false" customHeight="false" outlineLevel="0" collapsed="false">
      <c r="A16" s="6" t="s">
        <v>65</v>
      </c>
      <c r="B16" s="7" t="s">
        <v>107</v>
      </c>
      <c r="C16" s="7" t="s">
        <v>50</v>
      </c>
      <c r="D16" s="7" t="s">
        <v>94</v>
      </c>
      <c r="E16" s="7" t="s">
        <v>108</v>
      </c>
      <c r="F16" s="7" t="s">
        <v>109</v>
      </c>
      <c r="G16" s="6"/>
      <c r="H16" s="6" t="s">
        <v>110</v>
      </c>
    </row>
    <row r="17" customFormat="false" ht="15" hidden="false" customHeight="false" outlineLevel="0" collapsed="false">
      <c r="A17" s="6" t="s">
        <v>65</v>
      </c>
      <c r="B17" s="7" t="s">
        <v>111</v>
      </c>
      <c r="C17" s="7" t="s">
        <v>45</v>
      </c>
      <c r="D17" s="7" t="s">
        <v>112</v>
      </c>
      <c r="E17" s="7" t="s">
        <v>113</v>
      </c>
      <c r="F17" s="7" t="s">
        <v>114</v>
      </c>
      <c r="G17" s="6"/>
      <c r="H17" s="6" t="s">
        <v>115</v>
      </c>
    </row>
    <row r="18" customFormat="false" ht="15" hidden="false" customHeight="false" outlineLevel="0" collapsed="false">
      <c r="A18" s="6" t="s">
        <v>37</v>
      </c>
      <c r="B18" s="7" t="s">
        <v>116</v>
      </c>
      <c r="C18" s="7" t="s">
        <v>45</v>
      </c>
      <c r="D18" s="7" t="s">
        <v>117</v>
      </c>
      <c r="E18" s="7" t="s">
        <v>118</v>
      </c>
      <c r="F18" s="7" t="s">
        <v>119</v>
      </c>
      <c r="G18" s="6"/>
      <c r="H18" s="6" t="s">
        <v>120</v>
      </c>
    </row>
    <row r="19" customFormat="false" ht="15" hidden="false" customHeight="false" outlineLevel="0" collapsed="false">
      <c r="A19" s="6" t="s">
        <v>37</v>
      </c>
      <c r="B19" s="7" t="s">
        <v>121</v>
      </c>
      <c r="C19" s="7" t="s">
        <v>45</v>
      </c>
      <c r="D19" s="7" t="s">
        <v>122</v>
      </c>
      <c r="E19" s="7" t="s">
        <v>123</v>
      </c>
      <c r="F19" s="7" t="s">
        <v>124</v>
      </c>
      <c r="G19" s="6"/>
      <c r="H19" s="6" t="s">
        <v>125</v>
      </c>
    </row>
    <row r="20" customFormat="false" ht="15" hidden="false" customHeight="false" outlineLevel="0" collapsed="false">
      <c r="A20" s="6" t="s">
        <v>37</v>
      </c>
      <c r="B20" s="7" t="s">
        <v>126</v>
      </c>
      <c r="C20" s="7" t="s">
        <v>50</v>
      </c>
      <c r="D20" s="7" t="s">
        <v>122</v>
      </c>
      <c r="E20" s="7" t="s">
        <v>127</v>
      </c>
      <c r="F20" s="7" t="s">
        <v>128</v>
      </c>
      <c r="G20" s="6"/>
      <c r="H20" s="6" t="s">
        <v>129</v>
      </c>
    </row>
    <row r="21" customFormat="false" ht="15" hidden="false" customHeight="false" outlineLevel="0" collapsed="false">
      <c r="A21" s="6" t="s">
        <v>37</v>
      </c>
      <c r="B21" s="7" t="s">
        <v>130</v>
      </c>
      <c r="C21" s="7" t="s">
        <v>45</v>
      </c>
      <c r="D21" s="7" t="s">
        <v>122</v>
      </c>
      <c r="E21" s="7" t="s">
        <v>131</v>
      </c>
      <c r="F21" s="7" t="s">
        <v>132</v>
      </c>
      <c r="G21" s="6"/>
      <c r="H21" s="6" t="s">
        <v>133</v>
      </c>
    </row>
    <row r="22" customFormat="false" ht="15" hidden="false" customHeight="false" outlineLevel="0" collapsed="false">
      <c r="A22" s="6" t="s">
        <v>65</v>
      </c>
      <c r="B22" s="7" t="s">
        <v>134</v>
      </c>
      <c r="C22" s="7" t="s">
        <v>135</v>
      </c>
      <c r="D22" s="7" t="s">
        <v>122</v>
      </c>
      <c r="E22" s="7" t="s">
        <v>136</v>
      </c>
      <c r="F22" s="7" t="s">
        <v>137</v>
      </c>
      <c r="G22" s="6"/>
      <c r="H22" s="6" t="s">
        <v>138</v>
      </c>
    </row>
    <row r="23" customFormat="false" ht="15" hidden="false" customHeight="false" outlineLevel="0" collapsed="false">
      <c r="A23" s="6" t="s">
        <v>65</v>
      </c>
      <c r="B23" s="7" t="s">
        <v>139</v>
      </c>
      <c r="C23" s="7" t="s">
        <v>50</v>
      </c>
      <c r="D23" s="7" t="s">
        <v>140</v>
      </c>
      <c r="E23" s="7" t="s">
        <v>141</v>
      </c>
      <c r="F23" s="7" t="s">
        <v>142</v>
      </c>
      <c r="G23" s="6"/>
      <c r="H23" s="6" t="s">
        <v>143</v>
      </c>
    </row>
    <row r="24" customFormat="false" ht="15" hidden="false" customHeight="false" outlineLevel="0" collapsed="false">
      <c r="A24" s="6" t="s">
        <v>65</v>
      </c>
      <c r="B24" s="7" t="s">
        <v>144</v>
      </c>
      <c r="C24" s="7" t="s">
        <v>45</v>
      </c>
      <c r="D24" s="7" t="s">
        <v>140</v>
      </c>
      <c r="E24" s="7" t="s">
        <v>145</v>
      </c>
      <c r="F24" s="7" t="s">
        <v>146</v>
      </c>
      <c r="G24" s="6"/>
      <c r="H24" s="6" t="s">
        <v>147</v>
      </c>
    </row>
    <row r="25" customFormat="false" ht="15" hidden="false" customHeight="false" outlineLevel="0" collapsed="false">
      <c r="A25" s="6" t="s">
        <v>65</v>
      </c>
      <c r="B25" s="7" t="s">
        <v>148</v>
      </c>
      <c r="C25" s="7" t="s">
        <v>50</v>
      </c>
      <c r="D25" s="7" t="s">
        <v>149</v>
      </c>
      <c r="E25" s="7" t="s">
        <v>150</v>
      </c>
      <c r="F25" s="7" t="s">
        <v>151</v>
      </c>
      <c r="G25" s="6"/>
      <c r="H25" s="6" t="s">
        <v>152</v>
      </c>
    </row>
    <row r="26" customFormat="false" ht="15" hidden="false" customHeight="false" outlineLevel="0" collapsed="false">
      <c r="A26" s="6" t="s">
        <v>65</v>
      </c>
      <c r="B26" s="7" t="s">
        <v>153</v>
      </c>
      <c r="C26" s="7" t="s">
        <v>154</v>
      </c>
      <c r="D26" s="7" t="s">
        <v>122</v>
      </c>
      <c r="E26" s="7" t="s">
        <v>155</v>
      </c>
      <c r="F26" s="7" t="s">
        <v>156</v>
      </c>
      <c r="G26" s="6"/>
      <c r="H26" s="6" t="s">
        <v>157</v>
      </c>
    </row>
    <row r="27" customFormat="false" ht="15" hidden="false" customHeight="false" outlineLevel="0" collapsed="false">
      <c r="A27" s="6" t="s">
        <v>65</v>
      </c>
      <c r="B27" s="7" t="s">
        <v>158</v>
      </c>
      <c r="C27" s="7" t="s">
        <v>45</v>
      </c>
      <c r="D27" s="7" t="s">
        <v>140</v>
      </c>
      <c r="E27" s="7" t="s">
        <v>159</v>
      </c>
      <c r="F27" s="7" t="s">
        <v>160</v>
      </c>
      <c r="G27" s="6"/>
      <c r="H27" s="6" t="s">
        <v>161</v>
      </c>
    </row>
    <row r="28" customFormat="false" ht="15" hidden="false" customHeight="false" outlineLevel="0" collapsed="false">
      <c r="A28" s="6" t="s">
        <v>65</v>
      </c>
      <c r="B28" s="7" t="s">
        <v>162</v>
      </c>
      <c r="C28" s="7" t="s">
        <v>45</v>
      </c>
      <c r="D28" s="7" t="s">
        <v>163</v>
      </c>
      <c r="E28" s="7" t="s">
        <v>164</v>
      </c>
      <c r="F28" s="7" t="s">
        <v>165</v>
      </c>
      <c r="G28" s="6"/>
      <c r="H28" s="6" t="s">
        <v>166</v>
      </c>
    </row>
    <row r="29" customFormat="false" ht="15" hidden="false" customHeight="false" outlineLevel="0" collapsed="false">
      <c r="A29" s="6" t="s">
        <v>65</v>
      </c>
      <c r="B29" s="7" t="s">
        <v>167</v>
      </c>
      <c r="C29" s="7" t="s">
        <v>45</v>
      </c>
      <c r="D29" s="7" t="s">
        <v>122</v>
      </c>
      <c r="E29" s="7" t="s">
        <v>168</v>
      </c>
      <c r="F29" s="7" t="s">
        <v>169</v>
      </c>
      <c r="G29" s="6"/>
      <c r="H29" s="6" t="s">
        <v>170</v>
      </c>
    </row>
    <row r="30" customFormat="false" ht="15" hidden="false" customHeight="false" outlineLevel="0" collapsed="false">
      <c r="A30" s="6" t="s">
        <v>171</v>
      </c>
      <c r="B30" s="7" t="s">
        <v>172</v>
      </c>
      <c r="C30" s="7" t="s">
        <v>45</v>
      </c>
      <c r="D30" s="7" t="s">
        <v>140</v>
      </c>
      <c r="E30" s="7" t="s">
        <v>173</v>
      </c>
      <c r="F30" s="7" t="s">
        <v>174</v>
      </c>
      <c r="G30" s="6"/>
      <c r="H30" s="6" t="s">
        <v>175</v>
      </c>
    </row>
    <row r="31" customFormat="false" ht="15" hidden="false" customHeight="false" outlineLevel="0" collapsed="false">
      <c r="A31" s="6" t="s">
        <v>171</v>
      </c>
      <c r="B31" s="7" t="s">
        <v>176</v>
      </c>
      <c r="C31" s="7" t="s">
        <v>177</v>
      </c>
      <c r="D31" s="7" t="s">
        <v>140</v>
      </c>
      <c r="E31" s="7" t="s">
        <v>178</v>
      </c>
      <c r="F31" s="7" t="s">
        <v>179</v>
      </c>
      <c r="G31" s="6"/>
      <c r="H31" s="6" t="s">
        <v>180</v>
      </c>
    </row>
  </sheetData>
  <conditionalFormatting sqref="A2:A31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30"/>
    <col collapsed="false" customWidth="true" hidden="false" outlineLevel="0" max="13" min="13" style="0" width="40"/>
  </cols>
  <sheetData>
    <row r="1" customFormat="false" ht="24.75" hidden="false" customHeight="true" outlineLevel="0" collapsed="false">
      <c r="A1" s="5" t="s">
        <v>181</v>
      </c>
      <c r="B1" s="5" t="s">
        <v>30</v>
      </c>
      <c r="C1" s="5" t="s">
        <v>182</v>
      </c>
      <c r="D1" s="5" t="s">
        <v>183</v>
      </c>
      <c r="E1" s="5" t="s">
        <v>184</v>
      </c>
      <c r="F1" s="5" t="s">
        <v>185</v>
      </c>
      <c r="G1" s="5" t="s">
        <v>186</v>
      </c>
      <c r="H1" s="5" t="s">
        <v>187</v>
      </c>
      <c r="I1" s="5" t="s">
        <v>35</v>
      </c>
      <c r="J1" s="5" t="s">
        <v>188</v>
      </c>
      <c r="K1" s="5" t="s">
        <v>189</v>
      </c>
      <c r="L1" s="5" t="s">
        <v>190</v>
      </c>
      <c r="M1" s="5" t="s">
        <v>36</v>
      </c>
    </row>
    <row r="2" customFormat="false" ht="15" hidden="false" customHeight="false" outlineLevel="0" collapsed="false">
      <c r="A2" s="7" t="n">
        <v>1</v>
      </c>
      <c r="B2" s="6" t="s">
        <v>38</v>
      </c>
      <c r="C2" s="6" t="s">
        <v>45</v>
      </c>
      <c r="D2" s="6" t="s">
        <v>191</v>
      </c>
      <c r="E2" s="8" t="n">
        <v>46239</v>
      </c>
      <c r="F2" s="6" t="s">
        <v>11</v>
      </c>
      <c r="G2" s="8" t="n">
        <v>46239</v>
      </c>
      <c r="H2" s="7" t="n">
        <f aca="true">IF(E2="","",TODAY()-E2)</f>
        <v>-1</v>
      </c>
      <c r="I2" s="6" t="s">
        <v>192</v>
      </c>
      <c r="J2" s="6" t="s">
        <v>193</v>
      </c>
      <c r="K2" s="6" t="s">
        <v>194</v>
      </c>
      <c r="L2" s="6" t="s">
        <v>195</v>
      </c>
      <c r="M2" s="6" t="s">
        <v>196</v>
      </c>
    </row>
    <row r="3" customFormat="false" ht="15" hidden="false" customHeight="false" outlineLevel="0" collapsed="false">
      <c r="A3" s="7" t="n">
        <v>2</v>
      </c>
      <c r="B3" s="6"/>
      <c r="C3" s="6"/>
      <c r="D3" s="6"/>
      <c r="E3" s="8"/>
      <c r="F3" s="6"/>
      <c r="G3" s="8"/>
      <c r="H3" s="7" t="str">
        <f aca="true">IF(E3="","",TODAY()-E3)</f>
        <v/>
      </c>
      <c r="I3" s="6"/>
      <c r="J3" s="6"/>
      <c r="K3" s="6"/>
      <c r="L3" s="6"/>
      <c r="M3" s="6"/>
    </row>
    <row r="4" customFormat="false" ht="15" hidden="false" customHeight="false" outlineLevel="0" collapsed="false">
      <c r="A4" s="7" t="n">
        <v>3</v>
      </c>
      <c r="B4" s="6"/>
      <c r="C4" s="6"/>
      <c r="D4" s="6"/>
      <c r="E4" s="8"/>
      <c r="F4" s="6"/>
      <c r="G4" s="8"/>
      <c r="H4" s="7" t="str">
        <f aca="true">IF(E4="","",TODAY()-E4)</f>
        <v/>
      </c>
      <c r="I4" s="6"/>
      <c r="J4" s="6"/>
      <c r="K4" s="6"/>
      <c r="L4" s="6"/>
      <c r="M4" s="6"/>
    </row>
    <row r="5" customFormat="false" ht="15" hidden="false" customHeight="false" outlineLevel="0" collapsed="false">
      <c r="A5" s="7" t="n">
        <v>4</v>
      </c>
      <c r="B5" s="6"/>
      <c r="C5" s="6"/>
      <c r="D5" s="6"/>
      <c r="E5" s="8"/>
      <c r="F5" s="6"/>
      <c r="G5" s="8"/>
      <c r="H5" s="7" t="str">
        <f aca="true">IF(E5="","",TODAY()-E5)</f>
        <v/>
      </c>
      <c r="I5" s="6"/>
      <c r="J5" s="6"/>
      <c r="K5" s="6"/>
      <c r="L5" s="6"/>
      <c r="M5" s="6"/>
    </row>
    <row r="6" customFormat="false" ht="15" hidden="false" customHeight="false" outlineLevel="0" collapsed="false">
      <c r="A6" s="7" t="n">
        <v>5</v>
      </c>
      <c r="B6" s="6"/>
      <c r="C6" s="6"/>
      <c r="D6" s="6"/>
      <c r="E6" s="8"/>
      <c r="F6" s="6"/>
      <c r="G6" s="8"/>
      <c r="H6" s="7" t="str">
        <f aca="true">IF(E6="","",TODAY()-E6)</f>
        <v/>
      </c>
      <c r="I6" s="6"/>
      <c r="J6" s="6"/>
      <c r="K6" s="6"/>
      <c r="L6" s="6"/>
      <c r="M6" s="6"/>
    </row>
    <row r="7" customFormat="false" ht="15" hidden="false" customHeight="false" outlineLevel="0" collapsed="false">
      <c r="A7" s="7" t="n">
        <v>6</v>
      </c>
      <c r="B7" s="6"/>
      <c r="C7" s="6"/>
      <c r="D7" s="6"/>
      <c r="E7" s="8"/>
      <c r="F7" s="6"/>
      <c r="G7" s="8"/>
      <c r="H7" s="7" t="str">
        <f aca="true">IF(E7="","",TODAY()-E7)</f>
        <v/>
      </c>
      <c r="I7" s="6"/>
      <c r="J7" s="6"/>
      <c r="K7" s="6"/>
      <c r="L7" s="6"/>
      <c r="M7" s="6"/>
    </row>
    <row r="8" customFormat="false" ht="15" hidden="false" customHeight="false" outlineLevel="0" collapsed="false">
      <c r="A8" s="7" t="n">
        <v>7</v>
      </c>
      <c r="B8" s="6"/>
      <c r="C8" s="6"/>
      <c r="D8" s="6"/>
      <c r="E8" s="8"/>
      <c r="F8" s="6"/>
      <c r="G8" s="8"/>
      <c r="H8" s="7" t="str">
        <f aca="true">IF(E8="","",TODAY()-E8)</f>
        <v/>
      </c>
      <c r="I8" s="6"/>
      <c r="J8" s="6"/>
      <c r="K8" s="6"/>
      <c r="L8" s="6"/>
      <c r="M8" s="6"/>
    </row>
    <row r="9" customFormat="false" ht="15" hidden="false" customHeight="false" outlineLevel="0" collapsed="false">
      <c r="A9" s="7" t="n">
        <v>8</v>
      </c>
      <c r="B9" s="6"/>
      <c r="C9" s="6"/>
      <c r="D9" s="6"/>
      <c r="E9" s="8"/>
      <c r="F9" s="6"/>
      <c r="G9" s="8"/>
      <c r="H9" s="7" t="str">
        <f aca="true">IF(E9="","",TODAY()-E9)</f>
        <v/>
      </c>
      <c r="I9" s="6"/>
      <c r="J9" s="6"/>
      <c r="K9" s="6"/>
      <c r="L9" s="6"/>
      <c r="M9" s="6"/>
    </row>
    <row r="10" customFormat="false" ht="15" hidden="false" customHeight="false" outlineLevel="0" collapsed="false">
      <c r="A10" s="7" t="n">
        <v>9</v>
      </c>
      <c r="B10" s="6"/>
      <c r="C10" s="6"/>
      <c r="D10" s="6"/>
      <c r="E10" s="8"/>
      <c r="F10" s="6"/>
      <c r="G10" s="8"/>
      <c r="H10" s="7" t="str">
        <f aca="true">IF(E10="","",TODAY()-E10)</f>
        <v/>
      </c>
      <c r="I10" s="6"/>
      <c r="J10" s="6"/>
      <c r="K10" s="6"/>
      <c r="L10" s="6"/>
      <c r="M10" s="6"/>
    </row>
    <row r="11" customFormat="false" ht="15" hidden="false" customHeight="false" outlineLevel="0" collapsed="false">
      <c r="A11" s="7" t="n">
        <v>10</v>
      </c>
      <c r="B11" s="6"/>
      <c r="C11" s="6"/>
      <c r="D11" s="6"/>
      <c r="E11" s="8"/>
      <c r="F11" s="6"/>
      <c r="G11" s="8"/>
      <c r="H11" s="7" t="str">
        <f aca="true">IF(E11="","",TODAY()-E11)</f>
        <v/>
      </c>
      <c r="I11" s="6"/>
      <c r="J11" s="6"/>
      <c r="K11" s="6"/>
      <c r="L11" s="6"/>
      <c r="M11" s="6"/>
    </row>
    <row r="12" customFormat="false" ht="15" hidden="false" customHeight="false" outlineLevel="0" collapsed="false">
      <c r="A12" s="7" t="n">
        <v>11</v>
      </c>
      <c r="B12" s="6"/>
      <c r="C12" s="6"/>
      <c r="D12" s="6"/>
      <c r="E12" s="8"/>
      <c r="F12" s="6"/>
      <c r="G12" s="8"/>
      <c r="H12" s="7" t="str">
        <f aca="true">IF(E12="","",TODAY()-E12)</f>
        <v/>
      </c>
      <c r="I12" s="6"/>
      <c r="J12" s="6"/>
      <c r="K12" s="6"/>
      <c r="L12" s="6"/>
      <c r="M12" s="6"/>
    </row>
    <row r="13" customFormat="false" ht="15" hidden="false" customHeight="false" outlineLevel="0" collapsed="false">
      <c r="A13" s="7" t="n">
        <v>12</v>
      </c>
      <c r="B13" s="6"/>
      <c r="C13" s="6"/>
      <c r="D13" s="6"/>
      <c r="E13" s="8"/>
      <c r="F13" s="6"/>
      <c r="G13" s="8"/>
      <c r="H13" s="7" t="str">
        <f aca="true">IF(E13="","",TODAY()-E13)</f>
        <v/>
      </c>
      <c r="I13" s="6"/>
      <c r="J13" s="6"/>
      <c r="K13" s="6"/>
      <c r="L13" s="6"/>
      <c r="M13" s="6"/>
    </row>
    <row r="14" customFormat="false" ht="15" hidden="false" customHeight="false" outlineLevel="0" collapsed="false">
      <c r="A14" s="7" t="n">
        <v>13</v>
      </c>
      <c r="B14" s="6"/>
      <c r="C14" s="6"/>
      <c r="D14" s="6"/>
      <c r="E14" s="8"/>
      <c r="F14" s="6"/>
      <c r="G14" s="8"/>
      <c r="H14" s="7" t="str">
        <f aca="true">IF(E14="","",TODAY()-E14)</f>
        <v/>
      </c>
      <c r="I14" s="6"/>
      <c r="J14" s="6"/>
      <c r="K14" s="6"/>
      <c r="L14" s="6"/>
      <c r="M14" s="6"/>
    </row>
    <row r="15" customFormat="false" ht="15" hidden="false" customHeight="false" outlineLevel="0" collapsed="false">
      <c r="A15" s="7" t="n">
        <v>14</v>
      </c>
      <c r="B15" s="6"/>
      <c r="C15" s="6"/>
      <c r="D15" s="6"/>
      <c r="E15" s="8"/>
      <c r="F15" s="6"/>
      <c r="G15" s="8"/>
      <c r="H15" s="7" t="str">
        <f aca="true">IF(E15="","",TODAY()-E15)</f>
        <v/>
      </c>
      <c r="I15" s="6"/>
      <c r="J15" s="6"/>
      <c r="K15" s="6"/>
      <c r="L15" s="6"/>
      <c r="M15" s="6"/>
    </row>
    <row r="16" customFormat="false" ht="15" hidden="false" customHeight="false" outlineLevel="0" collapsed="false">
      <c r="A16" s="7" t="n">
        <v>15</v>
      </c>
      <c r="B16" s="6"/>
      <c r="C16" s="6"/>
      <c r="D16" s="6"/>
      <c r="E16" s="8"/>
      <c r="F16" s="6"/>
      <c r="G16" s="8"/>
      <c r="H16" s="7" t="str">
        <f aca="true">IF(E16="","",TODAY()-E16)</f>
        <v/>
      </c>
      <c r="I16" s="6"/>
      <c r="J16" s="6"/>
      <c r="K16" s="6"/>
      <c r="L16" s="6"/>
      <c r="M16" s="6"/>
    </row>
    <row r="17" customFormat="false" ht="15" hidden="false" customHeight="false" outlineLevel="0" collapsed="false">
      <c r="A17" s="7" t="n">
        <v>16</v>
      </c>
      <c r="B17" s="6"/>
      <c r="C17" s="6"/>
      <c r="D17" s="6"/>
      <c r="E17" s="8"/>
      <c r="F17" s="6"/>
      <c r="G17" s="8"/>
      <c r="H17" s="7" t="str">
        <f aca="true">IF(E17="","",TODAY()-E17)</f>
        <v/>
      </c>
      <c r="I17" s="6"/>
      <c r="J17" s="6"/>
      <c r="K17" s="6"/>
      <c r="L17" s="6"/>
      <c r="M17" s="6"/>
    </row>
    <row r="18" customFormat="false" ht="15" hidden="false" customHeight="false" outlineLevel="0" collapsed="false">
      <c r="A18" s="7" t="n">
        <v>17</v>
      </c>
      <c r="B18" s="6"/>
      <c r="C18" s="6"/>
      <c r="D18" s="6"/>
      <c r="E18" s="8"/>
      <c r="F18" s="6"/>
      <c r="G18" s="8"/>
      <c r="H18" s="7" t="str">
        <f aca="true">IF(E18="","",TODAY()-E18)</f>
        <v/>
      </c>
      <c r="I18" s="6"/>
      <c r="J18" s="6"/>
      <c r="K18" s="6"/>
      <c r="L18" s="6"/>
      <c r="M18" s="6"/>
    </row>
    <row r="19" customFormat="false" ht="15" hidden="false" customHeight="false" outlineLevel="0" collapsed="false">
      <c r="A19" s="7" t="n">
        <v>18</v>
      </c>
      <c r="B19" s="6"/>
      <c r="C19" s="6"/>
      <c r="D19" s="6"/>
      <c r="E19" s="8"/>
      <c r="F19" s="6"/>
      <c r="G19" s="8"/>
      <c r="H19" s="7" t="str">
        <f aca="true">IF(E19="","",TODAY()-E19)</f>
        <v/>
      </c>
      <c r="I19" s="6"/>
      <c r="J19" s="6"/>
      <c r="K19" s="6"/>
      <c r="L19" s="6"/>
      <c r="M19" s="6"/>
    </row>
    <row r="20" customFormat="false" ht="15" hidden="false" customHeight="false" outlineLevel="0" collapsed="false">
      <c r="A20" s="7" t="n">
        <v>19</v>
      </c>
      <c r="B20" s="6"/>
      <c r="C20" s="6"/>
      <c r="D20" s="6"/>
      <c r="E20" s="8"/>
      <c r="F20" s="6"/>
      <c r="G20" s="8"/>
      <c r="H20" s="7" t="str">
        <f aca="true">IF(E20="","",TODAY()-E20)</f>
        <v/>
      </c>
      <c r="I20" s="6"/>
      <c r="J20" s="6"/>
      <c r="K20" s="6"/>
      <c r="L20" s="6"/>
      <c r="M20" s="6"/>
    </row>
    <row r="21" customFormat="false" ht="15" hidden="false" customHeight="false" outlineLevel="0" collapsed="false">
      <c r="A21" s="7" t="n">
        <v>20</v>
      </c>
      <c r="B21" s="6"/>
      <c r="C21" s="6"/>
      <c r="D21" s="6"/>
      <c r="E21" s="8"/>
      <c r="F21" s="6"/>
      <c r="G21" s="8"/>
      <c r="H21" s="7" t="str">
        <f aca="true">IF(E21="","",TODAY()-E21)</f>
        <v/>
      </c>
      <c r="I21" s="6"/>
      <c r="J21" s="6"/>
      <c r="K21" s="6"/>
      <c r="L21" s="6"/>
      <c r="M21" s="6"/>
    </row>
    <row r="22" customFormat="false" ht="15" hidden="false" customHeight="false" outlineLevel="0" collapsed="false">
      <c r="A22" s="7" t="n">
        <v>21</v>
      </c>
      <c r="B22" s="6"/>
      <c r="C22" s="6"/>
      <c r="D22" s="6"/>
      <c r="E22" s="8"/>
      <c r="F22" s="6"/>
      <c r="G22" s="8"/>
      <c r="H22" s="7" t="str">
        <f aca="true">IF(E22="","",TODAY()-E22)</f>
        <v/>
      </c>
      <c r="I22" s="6"/>
      <c r="J22" s="6"/>
      <c r="K22" s="6"/>
      <c r="L22" s="6"/>
      <c r="M22" s="6"/>
    </row>
    <row r="23" customFormat="false" ht="15" hidden="false" customHeight="false" outlineLevel="0" collapsed="false">
      <c r="A23" s="7" t="n">
        <v>22</v>
      </c>
      <c r="B23" s="6"/>
      <c r="C23" s="6"/>
      <c r="D23" s="6"/>
      <c r="E23" s="8"/>
      <c r="F23" s="6"/>
      <c r="G23" s="8"/>
      <c r="H23" s="7" t="str">
        <f aca="true">IF(E23="","",TODAY()-E23)</f>
        <v/>
      </c>
      <c r="I23" s="6"/>
      <c r="J23" s="6"/>
      <c r="K23" s="6"/>
      <c r="L23" s="6"/>
      <c r="M23" s="6"/>
    </row>
    <row r="24" customFormat="false" ht="15" hidden="false" customHeight="false" outlineLevel="0" collapsed="false">
      <c r="A24" s="7" t="n">
        <v>23</v>
      </c>
      <c r="B24" s="6"/>
      <c r="C24" s="6"/>
      <c r="D24" s="6"/>
      <c r="E24" s="8"/>
      <c r="F24" s="6"/>
      <c r="G24" s="8"/>
      <c r="H24" s="7" t="str">
        <f aca="true">IF(E24="","",TODAY()-E24)</f>
        <v/>
      </c>
      <c r="I24" s="6"/>
      <c r="J24" s="6"/>
      <c r="K24" s="6"/>
      <c r="L24" s="6"/>
      <c r="M24" s="6"/>
    </row>
    <row r="25" customFormat="false" ht="15" hidden="false" customHeight="false" outlineLevel="0" collapsed="false">
      <c r="A25" s="7" t="n">
        <v>24</v>
      </c>
      <c r="B25" s="6"/>
      <c r="C25" s="6"/>
      <c r="D25" s="6"/>
      <c r="E25" s="8"/>
      <c r="F25" s="6"/>
      <c r="G25" s="8"/>
      <c r="H25" s="7" t="str">
        <f aca="true">IF(E25="","",TODAY()-E25)</f>
        <v/>
      </c>
      <c r="I25" s="6"/>
      <c r="J25" s="6"/>
      <c r="K25" s="6"/>
      <c r="L25" s="6"/>
      <c r="M25" s="6"/>
    </row>
    <row r="26" customFormat="false" ht="15" hidden="false" customHeight="false" outlineLevel="0" collapsed="false">
      <c r="A26" s="7" t="n">
        <v>25</v>
      </c>
      <c r="B26" s="6"/>
      <c r="C26" s="6"/>
      <c r="D26" s="6"/>
      <c r="E26" s="8"/>
      <c r="F26" s="6"/>
      <c r="G26" s="8"/>
      <c r="H26" s="7" t="str">
        <f aca="true">IF(E26="","",TODAY()-E26)</f>
        <v/>
      </c>
      <c r="I26" s="6"/>
      <c r="J26" s="6"/>
      <c r="K26" s="6"/>
      <c r="L26" s="6"/>
      <c r="M26" s="6"/>
    </row>
    <row r="27" customFormat="false" ht="15" hidden="false" customHeight="false" outlineLevel="0" collapsed="false">
      <c r="A27" s="7" t="n">
        <v>26</v>
      </c>
      <c r="B27" s="6"/>
      <c r="C27" s="6"/>
      <c r="D27" s="6"/>
      <c r="E27" s="8"/>
      <c r="F27" s="6"/>
      <c r="G27" s="8"/>
      <c r="H27" s="7" t="str">
        <f aca="true">IF(E27="","",TODAY()-E27)</f>
        <v/>
      </c>
      <c r="I27" s="6"/>
      <c r="J27" s="6"/>
      <c r="K27" s="6"/>
      <c r="L27" s="6"/>
      <c r="M27" s="6"/>
    </row>
    <row r="28" customFormat="false" ht="15" hidden="false" customHeight="false" outlineLevel="0" collapsed="false">
      <c r="A28" s="7" t="n">
        <v>27</v>
      </c>
      <c r="B28" s="6"/>
      <c r="C28" s="6"/>
      <c r="D28" s="6"/>
      <c r="E28" s="8"/>
      <c r="F28" s="6"/>
      <c r="G28" s="8"/>
      <c r="H28" s="7" t="str">
        <f aca="true">IF(E28="","",TODAY()-E28)</f>
        <v/>
      </c>
      <c r="I28" s="6"/>
      <c r="J28" s="6"/>
      <c r="K28" s="6"/>
      <c r="L28" s="6"/>
      <c r="M28" s="6"/>
    </row>
    <row r="29" customFormat="false" ht="15" hidden="false" customHeight="false" outlineLevel="0" collapsed="false">
      <c r="A29" s="7" t="n">
        <v>28</v>
      </c>
      <c r="B29" s="6"/>
      <c r="C29" s="6"/>
      <c r="D29" s="6"/>
      <c r="E29" s="8"/>
      <c r="F29" s="6"/>
      <c r="G29" s="8"/>
      <c r="H29" s="7" t="str">
        <f aca="true">IF(E29="","",TODAY()-E29)</f>
        <v/>
      </c>
      <c r="I29" s="6"/>
      <c r="J29" s="6"/>
      <c r="K29" s="6"/>
      <c r="L29" s="6"/>
      <c r="M29" s="6"/>
    </row>
    <row r="30" customFormat="false" ht="15" hidden="false" customHeight="false" outlineLevel="0" collapsed="false">
      <c r="A30" s="7" t="n">
        <v>29</v>
      </c>
      <c r="B30" s="6"/>
      <c r="C30" s="6"/>
      <c r="D30" s="6"/>
      <c r="E30" s="8"/>
      <c r="F30" s="6"/>
      <c r="G30" s="8"/>
      <c r="H30" s="7" t="str">
        <f aca="true">IF(E30="","",TODAY()-E30)</f>
        <v/>
      </c>
      <c r="I30" s="6"/>
      <c r="J30" s="6"/>
      <c r="K30" s="6"/>
      <c r="L30" s="6"/>
      <c r="M30" s="6"/>
    </row>
    <row r="31" customFormat="false" ht="15" hidden="false" customHeight="false" outlineLevel="0" collapsed="false">
      <c r="A31" s="7" t="n">
        <v>30</v>
      </c>
      <c r="B31" s="6"/>
      <c r="C31" s="6"/>
      <c r="D31" s="6"/>
      <c r="E31" s="8"/>
      <c r="F31" s="6"/>
      <c r="G31" s="8"/>
      <c r="H31" s="7" t="str">
        <f aca="true">IF(E31="","",TODAY()-E31)</f>
        <v/>
      </c>
      <c r="I31" s="6"/>
      <c r="J31" s="6"/>
      <c r="K31" s="6"/>
      <c r="L31" s="6"/>
      <c r="M31" s="6"/>
    </row>
    <row r="32" customFormat="false" ht="15" hidden="false" customHeight="false" outlineLevel="0" collapsed="false">
      <c r="A32" s="7" t="n">
        <v>31</v>
      </c>
      <c r="B32" s="6"/>
      <c r="C32" s="6"/>
      <c r="D32" s="6"/>
      <c r="E32" s="8"/>
      <c r="F32" s="6"/>
      <c r="G32" s="8"/>
      <c r="H32" s="7" t="str">
        <f aca="true">IF(E32="","",TODAY()-E32)</f>
        <v/>
      </c>
      <c r="I32" s="6"/>
      <c r="J32" s="6"/>
      <c r="K32" s="6"/>
      <c r="L32" s="6"/>
      <c r="M32" s="6"/>
    </row>
  </sheetData>
  <conditionalFormatting sqref="F2:F33">
    <cfRule type="cellIs" priority="2" operator="equal" aboveAverage="0" equalAverage="0" bottom="0" percent="0" rank="0" text="" dxfId="3">
      <formula>"Applied"</formula>
    </cfRule>
    <cfRule type="cellIs" priority="3" operator="equal" aboveAverage="0" equalAverage="0" bottom="0" percent="0" rank="0" text="" dxfId="4">
      <formula>"Screening"</formula>
    </cfRule>
    <cfRule type="cellIs" priority="4" operator="equal" aboveAverage="0" equalAverage="0" bottom="0" percent="0" rank="0" text="" dxfId="5">
      <formula>"Interview-1"</formula>
    </cfRule>
    <cfRule type="cellIs" priority="5" operator="equal" aboveAverage="0" equalAverage="0" bottom="0" percent="0" rank="0" text="" dxfId="6">
      <formula>"Interview-2"</formula>
    </cfRule>
    <cfRule type="cellIs" priority="6" operator="equal" aboveAverage="0" equalAverage="0" bottom="0" percent="0" rank="0" text="" dxfId="7">
      <formula>"Onsite"</formula>
    </cfRule>
    <cfRule type="cellIs" priority="7" operator="equal" aboveAverage="0" equalAverage="0" bottom="0" percent="0" rank="0" text="" dxfId="8">
      <formula>"Offer"</formula>
    </cfRule>
    <cfRule type="cellIs" priority="8" operator="equal" aboveAverage="0" equalAverage="0" bottom="0" percent="0" rank="0" text="" dxfId="9">
      <formula>"Rejected"</formula>
    </cfRule>
    <cfRule type="cellIs" priority="9" operator="equal" aboveAverage="0" equalAverage="0" bottom="0" percent="0" rank="0" text="" dxfId="10">
      <formula>"Withdrawn"</formula>
    </cfRule>
    <cfRule type="cellIs" priority="10" operator="equal" aboveAverage="0" equalAverage="0" bottom="0" percent="0" rank="0" text="" dxfId="11">
      <formula>"Ghosted"</formula>
    </cfRule>
    <cfRule type="cellIs" priority="11" operator="equal" aboveAverage="0" equalAverage="0" bottom="0" percent="0" rank="0" text="" dxfId="12">
      <formula>"Prospect"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" t="s">
        <v>197</v>
      </c>
    </row>
    <row r="2" customFormat="false" ht="15" hidden="false" customHeight="false" outlineLevel="0" collapsed="false">
      <c r="A2" s="9" t="s">
        <v>198</v>
      </c>
    </row>
    <row r="4" customFormat="false" ht="15" hidden="false" customHeight="false" outlineLevel="0" collapsed="false">
      <c r="A4" s="2" t="s">
        <v>199</v>
      </c>
    </row>
    <row r="5" customFormat="false" ht="15" hidden="false" customHeight="false" outlineLevel="0" collapsed="false">
      <c r="A5" s="10" t="s">
        <v>11</v>
      </c>
      <c r="B5" s="11" t="n">
        <f aca="false">COUNTIF(Applications!F:F,"Applied")</f>
        <v>1</v>
      </c>
    </row>
    <row r="6" customFormat="false" ht="15" hidden="false" customHeight="false" outlineLevel="0" collapsed="false">
      <c r="A6" s="10" t="s">
        <v>13</v>
      </c>
      <c r="B6" s="11" t="n">
        <f aca="false">COUNTIF(Applications!F:F,"Screening")</f>
        <v>0</v>
      </c>
    </row>
    <row r="7" customFormat="false" ht="15" hidden="false" customHeight="false" outlineLevel="0" collapsed="false">
      <c r="A7" s="10" t="s">
        <v>15</v>
      </c>
      <c r="B7" s="11" t="n">
        <f aca="false">COUNTIF(Applications!F:F,"Interview-1")</f>
        <v>0</v>
      </c>
    </row>
    <row r="8" customFormat="false" ht="15" hidden="false" customHeight="false" outlineLevel="0" collapsed="false">
      <c r="A8" s="10" t="s">
        <v>17</v>
      </c>
      <c r="B8" s="11" t="n">
        <f aca="false">COUNTIF(Applications!F:F,"Interview-2")</f>
        <v>0</v>
      </c>
    </row>
    <row r="9" customFormat="false" ht="15" hidden="false" customHeight="false" outlineLevel="0" collapsed="false">
      <c r="A9" s="10" t="s">
        <v>19</v>
      </c>
      <c r="B9" s="11" t="n">
        <f aca="false">COUNTIF(Applications!F:F,"Onsite")</f>
        <v>0</v>
      </c>
    </row>
    <row r="10" customFormat="false" ht="15" hidden="false" customHeight="false" outlineLevel="0" collapsed="false">
      <c r="A10" s="10" t="s">
        <v>21</v>
      </c>
      <c r="B10" s="11" t="n">
        <f aca="false">COUNTIF(Applications!F:F,"Offer")</f>
        <v>0</v>
      </c>
    </row>
    <row r="11" customFormat="false" ht="15" hidden="false" customHeight="false" outlineLevel="0" collapsed="false">
      <c r="A11" s="10" t="s">
        <v>23</v>
      </c>
      <c r="B11" s="11" t="n">
        <f aca="false">COUNTIF(Applications!F:F,"Rejected")</f>
        <v>0</v>
      </c>
    </row>
    <row r="12" customFormat="false" ht="15" hidden="false" customHeight="false" outlineLevel="0" collapsed="false">
      <c r="A12" s="10" t="s">
        <v>25</v>
      </c>
      <c r="B12" s="11" t="n">
        <f aca="false">COUNTIF(Applications!F:F,"Withdrawn")</f>
        <v>0</v>
      </c>
    </row>
    <row r="13" customFormat="false" ht="15" hidden="false" customHeight="false" outlineLevel="0" collapsed="false">
      <c r="A13" s="10" t="s">
        <v>27</v>
      </c>
      <c r="B13" s="11" t="n">
        <f aca="false">COUNTIF(Applications!F:F,"Ghosted")</f>
        <v>0</v>
      </c>
    </row>
    <row r="15" customFormat="false" ht="15" hidden="false" customHeight="false" outlineLevel="0" collapsed="false">
      <c r="A15" s="12" t="s">
        <v>200</v>
      </c>
      <c r="B15" s="13" t="n">
        <f aca="false">SUM(B5:B13)</f>
        <v>1</v>
      </c>
    </row>
    <row r="17" customFormat="false" ht="15" hidden="false" customHeight="false" outlineLevel="0" collapsed="false">
      <c r="A17" s="2" t="s">
        <v>201</v>
      </c>
    </row>
    <row r="18" customFormat="false" ht="15" hidden="false" customHeight="false" outlineLevel="0" collapsed="false">
      <c r="A18" s="10" t="s">
        <v>202</v>
      </c>
      <c r="B18" s="14" t="n">
        <f aca="false">IFERROR((B6+B7+B8+B9+B10)/B15,0)</f>
        <v>0</v>
      </c>
    </row>
    <row r="19" customFormat="false" ht="15" hidden="false" customHeight="false" outlineLevel="0" collapsed="false">
      <c r="A19" s="10" t="s">
        <v>203</v>
      </c>
      <c r="B19" s="14" t="n">
        <f aca="false">IFERROR((B7+B8+B9+B10)/B15,0)</f>
        <v>0</v>
      </c>
    </row>
    <row r="20" customFormat="false" ht="15" hidden="false" customHeight="false" outlineLevel="0" collapsed="false">
      <c r="A20" s="10" t="s">
        <v>204</v>
      </c>
      <c r="B20" s="14" t="n">
        <f aca="false">IFERROR((B9+B10)/B15,0)</f>
        <v>0</v>
      </c>
    </row>
    <row r="21" customFormat="false" ht="15" hidden="false" customHeight="false" outlineLevel="0" collapsed="false">
      <c r="A21" s="10" t="s">
        <v>205</v>
      </c>
      <c r="B21" s="14" t="n">
        <f aca="false">IFERROR(B10/B15,0)</f>
        <v>0</v>
      </c>
    </row>
    <row r="23" customFormat="false" ht="15" hidden="false" customHeight="false" outlineLevel="0" collapsed="false">
      <c r="A23" s="2" t="s">
        <v>206</v>
      </c>
    </row>
    <row r="24" customFormat="false" ht="15" hidden="false" customHeight="false" outlineLevel="0" collapsed="false">
      <c r="A24" s="10" t="s">
        <v>207</v>
      </c>
      <c r="B24" s="15" t="n">
        <f aca="false">COUNTIFS(Applications!F:F,"Applied",Applications!H:H,"&gt;=5")</f>
        <v>0</v>
      </c>
    </row>
    <row r="26" customFormat="false" ht="15" hidden="false" customHeight="false" outlineLevel="0" collapsed="false">
      <c r="A26" s="2" t="s">
        <v>208</v>
      </c>
    </row>
    <row r="27" customFormat="false" ht="15" hidden="false" customHeight="false" outlineLevel="0" collapsed="false">
      <c r="A27" s="10" t="s">
        <v>209</v>
      </c>
      <c r="B27" s="11" t="n">
        <f aca="true">COUNTIFS(Applications!E:E,"&gt;="&amp;TODAY()-7,Applications!E:E,"&lt;="&amp;TODAY())</f>
        <v>0</v>
      </c>
    </row>
    <row r="28" customFormat="false" ht="15" hidden="false" customHeight="false" outlineLevel="0" collapsed="false">
      <c r="A28" s="9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2026-08-04T04:05:37Z</dcterms:created>
  <dc:creator>openpyxl</dc:creator>
  <dc:description/>
  <dc:language>en-US</dc:language>
  <cp:lastModifiedBy/>
  <dcterms:modified xsi:type="dcterms:W3CDTF">2026-08-04T04:05:37Z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